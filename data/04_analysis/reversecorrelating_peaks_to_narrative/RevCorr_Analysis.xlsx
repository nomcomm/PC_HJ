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maelz/Documents/01_GITHUB/nomcomm/GITHUB_PAPERS_WORKING/PC_HJ/data/04_analysis/reversecorrelating_peaks_to_narrative/"/>
    </mc:Choice>
  </mc:AlternateContent>
  <xr:revisionPtr revIDLastSave="0" documentId="13_ncr:1_{F5A716D7-F559-324E-B2C1-582F6D85386E}" xr6:coauthVersionLast="47" xr6:coauthVersionMax="47" xr10:uidLastSave="{00000000-0000-0000-0000-000000000000}"/>
  <bookViews>
    <workbookView xWindow="25600" yWindow="500" windowWidth="25600" windowHeight="26380" xr2:uid="{C0CA56DA-1204-B74F-961C-0F4F623D3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11" i="1"/>
  <c r="A10" i="1"/>
  <c r="A23" i="1"/>
  <c r="E10" i="1"/>
  <c r="E23" i="1"/>
  <c r="C10" i="1"/>
  <c r="C23" i="1"/>
  <c r="E28" i="1"/>
  <c r="D28" i="1"/>
  <c r="C28" i="1"/>
  <c r="A16" i="1"/>
  <c r="A17" i="1"/>
  <c r="A18" i="1"/>
  <c r="A19" i="1"/>
  <c r="A20" i="1"/>
  <c r="A21" i="1"/>
  <c r="A22" i="1"/>
  <c r="A15" i="1"/>
  <c r="A3" i="1"/>
  <c r="A4" i="1"/>
  <c r="A5" i="1"/>
  <c r="A6" i="1"/>
  <c r="A7" i="1"/>
  <c r="A8" i="1"/>
  <c r="A9" i="1"/>
  <c r="A2" i="1"/>
  <c r="D23" i="1"/>
  <c r="D10" i="1"/>
  <c r="A28" i="1" l="1"/>
</calcChain>
</file>

<file path=xl/sharedStrings.xml><?xml version="1.0" encoding="utf-8"?>
<sst xmlns="http://schemas.openxmlformats.org/spreadsheetml/2006/main" count="37" uniqueCount="37">
  <si>
    <t>Filename</t>
  </si>
  <si>
    <t>Justification</t>
  </si>
  <si>
    <t>Peak_02_Time89s_GSR2.06.mp4</t>
  </si>
  <si>
    <t>Control_04_Time202s.mp4</t>
  </si>
  <si>
    <t>Control_08_Time27s.mp4</t>
  </si>
  <si>
    <t>Control_05_Time205s.mp4</t>
  </si>
  <si>
    <t>Control_06_Time176s.mp4</t>
  </si>
  <si>
    <t>Peak_01_Time9s_GSR2.27.mp4</t>
  </si>
  <si>
    <t>Control_01_Time36s.mp4</t>
  </si>
  <si>
    <t>Control_03_Time168s.mp4</t>
  </si>
  <si>
    <t>Control_07_Time70s.mp4</t>
  </si>
  <si>
    <t>Control_02_Time48s.mp4</t>
  </si>
  <si>
    <t>Narrative_Intensity (0-100)</t>
  </si>
  <si>
    <t>Physical_Threat (0-100)</t>
  </si>
  <si>
    <t>Emotional_Arousal (0-100)</t>
  </si>
  <si>
    <t>An establishing shot of storks flying; it sets the scene but lacks immediate conflict, danger, or specific plot progression.</t>
  </si>
  <si>
    <t>A routine, low-stakes vignette of a cloud creating a puppy; it is cute and atmospheric but contributes little to the central conflict.</t>
  </si>
  <si>
    <t>A comedic vignette of a football-playing baby; the physical action (tackle) is playful rather than dangerous, keeping arousal low.</t>
  </si>
  <si>
    <t>A high-danger moment where the stork is bitten by a crocodile; this illustrates the central conflict (the difficulty of the stork's job) vividly.</t>
  </si>
  <si>
    <t>Peak_03_Time102s_GSR1.98.mp4</t>
  </si>
  <si>
    <t>A major narrative turning point where the stork appears to abandon the cloud; high emotional stakes and sadness, though physical threat is low.</t>
  </si>
  <si>
    <t>Peak_04_Time122s_GSR2.75.mp4</t>
  </si>
  <si>
    <t>The stork is shocked by an electric eel; this contains the most immediate physical pain and sudden shock (startle response) of the set.</t>
  </si>
  <si>
    <t>Shows the aftermath of danger (stork is tattered) and a prick from a porcupine; the threat is present but played for resignation/comedy rather than acute shock.</t>
  </si>
  <si>
    <t>A resolution scene showing reconciliation; while narratively important, the arousal and threat levels are low as the conflict de-escalates.</t>
  </si>
  <si>
    <t>This is an expository scene showing the creation of a kitten; it establishes tone but lacks conflict, danger, or major plot movement.</t>
  </si>
  <si>
    <t>Peak_08_Time293s_GSR2.17.mp4</t>
  </si>
  <si>
    <t>This clip features the closing credits, which signals the end of the film but contains no active narrative, threat, or emotional stimuli.</t>
  </si>
  <si>
    <t>A major emotional turning point where the stork returns to the cloud, resolving the central relationship conflict after a separation scare.</t>
  </si>
  <si>
    <t>Peak_05_Time150s_GSR2.82.mp4</t>
  </si>
  <si>
    <t>The stork is physically shocked and battered by an electric eel, providing a moment of acute physical distress and comedic tension.</t>
  </si>
  <si>
    <t>Peak_06_Time223s_GSR2.52.mp4</t>
  </si>
  <si>
    <t>The cloud character's anger manifests as a thunderstorm, presenting a high level of emotional expression and environmental/physical intensity.</t>
  </si>
  <si>
    <t>The stork struggles to carry a prickly porcupine, illustrating the physical difficulty of the task but serving as a transitional moment rather than a plot climax.</t>
  </si>
  <si>
    <t>The cloud creates a crocodile that snaps at him; this introduces the theme of dangerous creations but is played primarily for low-stakes comedy.</t>
  </si>
  <si>
    <t>Peak_07_Time277s_GSR2.19.mp4</t>
  </si>
  <si>
    <t>The resolution scene showing the characters working in harmony at sunset; high narrative significance as the "happy ending," with warm positive arousal.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</si>
</sst>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7E93-8D2B-FA45-9751-B4F0AA49063E}">
  <dimension ref="A1:F38"/>
  <sheetViews>
    <sheetView tabSelected="1" workbookViewId="0">
      <selection activeCell="A25" sqref="A25"/>
    </sheetView>
  </sheetViews>
  <sheetFormatPr baseColWidth="10" defaultRowHeight="16" x14ac:dyDescent="0.2"/>
  <sheetData>
    <row r="1" spans="1:6" x14ac:dyDescent="0.2">
      <c r="B1" s="1" t="s">
        <v>0</v>
      </c>
      <c r="C1" s="1" t="s">
        <v>12</v>
      </c>
      <c r="D1" s="1" t="s">
        <v>13</v>
      </c>
      <c r="E1" s="1" t="s">
        <v>14</v>
      </c>
      <c r="F1" s="1" t="s">
        <v>1</v>
      </c>
    </row>
    <row r="2" spans="1:6" x14ac:dyDescent="0.2">
      <c r="A2">
        <f>SUM(C2:E2)/3</f>
        <v>8.3333333333333339</v>
      </c>
      <c r="B2" s="1" t="s">
        <v>8</v>
      </c>
      <c r="C2" s="2">
        <v>10</v>
      </c>
      <c r="D2" s="2">
        <v>5</v>
      </c>
      <c r="E2" s="2">
        <v>10</v>
      </c>
      <c r="F2" s="2" t="s">
        <v>16</v>
      </c>
    </row>
    <row r="3" spans="1:6" x14ac:dyDescent="0.2">
      <c r="A3">
        <f t="shared" ref="A3:A9" si="0">SUM(C3:E3)/3</f>
        <v>13.333333333333334</v>
      </c>
      <c r="B3" s="1" t="s">
        <v>11</v>
      </c>
      <c r="C3" s="2">
        <v>10</v>
      </c>
      <c r="D3" s="2">
        <v>10</v>
      </c>
      <c r="E3" s="2">
        <v>20</v>
      </c>
      <c r="F3" s="2" t="s">
        <v>17</v>
      </c>
    </row>
    <row r="4" spans="1:6" x14ac:dyDescent="0.2">
      <c r="A4">
        <f t="shared" si="0"/>
        <v>38.333333333333336</v>
      </c>
      <c r="B4" s="1" t="s">
        <v>9</v>
      </c>
      <c r="C4" s="2">
        <v>30</v>
      </c>
      <c r="D4" s="2">
        <v>45</v>
      </c>
      <c r="E4" s="2">
        <v>40</v>
      </c>
      <c r="F4" s="2" t="s">
        <v>23</v>
      </c>
    </row>
    <row r="5" spans="1:6" x14ac:dyDescent="0.2">
      <c r="A5">
        <f t="shared" si="0"/>
        <v>28.333333333333332</v>
      </c>
      <c r="B5" s="1" t="s">
        <v>3</v>
      </c>
      <c r="C5" s="2">
        <v>45</v>
      </c>
      <c r="D5" s="2">
        <v>5</v>
      </c>
      <c r="E5" s="2">
        <v>35</v>
      </c>
      <c r="F5" s="2" t="s">
        <v>24</v>
      </c>
    </row>
    <row r="6" spans="1:6" x14ac:dyDescent="0.2">
      <c r="A6">
        <f t="shared" si="0"/>
        <v>61.666666666666664</v>
      </c>
      <c r="B6" s="1" t="s">
        <v>5</v>
      </c>
      <c r="C6" s="2">
        <v>85</v>
      </c>
      <c r="D6" s="2">
        <v>10</v>
      </c>
      <c r="E6" s="2">
        <v>90</v>
      </c>
      <c r="F6" s="2" t="s">
        <v>28</v>
      </c>
    </row>
    <row r="7" spans="1:6" x14ac:dyDescent="0.2">
      <c r="A7">
        <f t="shared" si="0"/>
        <v>41.666666666666664</v>
      </c>
      <c r="B7" s="1" t="s">
        <v>6</v>
      </c>
      <c r="C7" s="2">
        <v>35</v>
      </c>
      <c r="D7" s="2">
        <v>50</v>
      </c>
      <c r="E7" s="2">
        <v>40</v>
      </c>
      <c r="F7" s="2" t="s">
        <v>33</v>
      </c>
    </row>
    <row r="8" spans="1:6" x14ac:dyDescent="0.2">
      <c r="A8">
        <f t="shared" si="0"/>
        <v>36.666666666666664</v>
      </c>
      <c r="B8" s="1" t="s">
        <v>10</v>
      </c>
      <c r="C8" s="2">
        <v>30</v>
      </c>
      <c r="D8" s="2">
        <v>45</v>
      </c>
      <c r="E8" s="2">
        <v>35</v>
      </c>
      <c r="F8" s="2" t="s">
        <v>34</v>
      </c>
    </row>
    <row r="9" spans="1:6" x14ac:dyDescent="0.2">
      <c r="A9">
        <f t="shared" si="0"/>
        <v>13.333333333333334</v>
      </c>
      <c r="B9" s="1" t="s">
        <v>4</v>
      </c>
      <c r="C9" s="2">
        <v>20</v>
      </c>
      <c r="D9" s="2">
        <v>5</v>
      </c>
      <c r="E9" s="2">
        <v>15</v>
      </c>
      <c r="F9" s="2" t="s">
        <v>25</v>
      </c>
    </row>
    <row r="10" spans="1:6" x14ac:dyDescent="0.2">
      <c r="A10" s="3">
        <f>SUM(A2:A9)/8</f>
        <v>30.208333333333332</v>
      </c>
      <c r="C10" s="2">
        <f>SUM(C2:C9)/8</f>
        <v>33.125</v>
      </c>
      <c r="D10" s="2">
        <f>SUM(D2:D9)/8</f>
        <v>21.875</v>
      </c>
      <c r="E10" s="2">
        <f>SUM(E2:E9)/8</f>
        <v>35.625</v>
      </c>
    </row>
    <row r="11" spans="1:6" x14ac:dyDescent="0.2">
      <c r="A11">
        <f>STDEV(A2:A9)</f>
        <v>18.048380747841275</v>
      </c>
    </row>
    <row r="15" spans="1:6" x14ac:dyDescent="0.2">
      <c r="A15" s="3">
        <f>SUM(C15:E15)/3</f>
        <v>11.666666666666666</v>
      </c>
      <c r="B15" s="1" t="s">
        <v>7</v>
      </c>
      <c r="C15" s="2">
        <v>20</v>
      </c>
      <c r="D15" s="2">
        <v>0</v>
      </c>
      <c r="E15" s="2">
        <v>15</v>
      </c>
      <c r="F15" s="2" t="s">
        <v>15</v>
      </c>
    </row>
    <row r="16" spans="1:6" x14ac:dyDescent="0.2">
      <c r="A16" s="3">
        <f t="shared" ref="A16:A22" si="1">SUM(C16:E16)/3</f>
        <v>75</v>
      </c>
      <c r="B16" s="1" t="s">
        <v>2</v>
      </c>
      <c r="C16" s="2">
        <v>60</v>
      </c>
      <c r="D16" s="2">
        <v>85</v>
      </c>
      <c r="E16" s="2">
        <v>80</v>
      </c>
      <c r="F16" s="2" t="s">
        <v>18</v>
      </c>
    </row>
    <row r="17" spans="1:6" x14ac:dyDescent="0.2">
      <c r="A17" s="3">
        <f t="shared" si="1"/>
        <v>56.666666666666664</v>
      </c>
      <c r="B17" s="1" t="s">
        <v>19</v>
      </c>
      <c r="C17" s="2">
        <v>85</v>
      </c>
      <c r="D17" s="2">
        <v>10</v>
      </c>
      <c r="E17" s="2">
        <v>75</v>
      </c>
      <c r="F17" s="2" t="s">
        <v>20</v>
      </c>
    </row>
    <row r="18" spans="1:6" x14ac:dyDescent="0.2">
      <c r="A18" s="3">
        <f t="shared" si="1"/>
        <v>76.666666666666671</v>
      </c>
      <c r="B18" s="1" t="s">
        <v>21</v>
      </c>
      <c r="C18" s="2">
        <v>50</v>
      </c>
      <c r="D18" s="2">
        <v>90</v>
      </c>
      <c r="E18" s="2">
        <v>90</v>
      </c>
      <c r="F18" s="2" t="s">
        <v>22</v>
      </c>
    </row>
    <row r="19" spans="1:6" x14ac:dyDescent="0.2">
      <c r="A19" s="3">
        <f t="shared" si="1"/>
        <v>55</v>
      </c>
      <c r="B19" s="1" t="s">
        <v>29</v>
      </c>
      <c r="C19" s="2">
        <v>45</v>
      </c>
      <c r="D19" s="2">
        <v>65</v>
      </c>
      <c r="E19" s="2">
        <v>55</v>
      </c>
      <c r="F19" s="2" t="s">
        <v>30</v>
      </c>
    </row>
    <row r="20" spans="1:6" x14ac:dyDescent="0.2">
      <c r="A20" s="3">
        <f t="shared" si="1"/>
        <v>68.333333333333329</v>
      </c>
      <c r="B20" s="1" t="s">
        <v>31</v>
      </c>
      <c r="C20" s="2">
        <v>60</v>
      </c>
      <c r="D20" s="2">
        <v>75</v>
      </c>
      <c r="E20" s="2">
        <v>70</v>
      </c>
      <c r="F20" s="2" t="s">
        <v>32</v>
      </c>
    </row>
    <row r="21" spans="1:6" x14ac:dyDescent="0.2">
      <c r="A21" s="3">
        <f t="shared" si="1"/>
        <v>51.666666666666664</v>
      </c>
      <c r="B21" s="1" t="s">
        <v>35</v>
      </c>
      <c r="C21" s="2">
        <v>80</v>
      </c>
      <c r="D21" s="2">
        <v>10</v>
      </c>
      <c r="E21" s="2">
        <v>65</v>
      </c>
      <c r="F21" s="2" t="s">
        <v>36</v>
      </c>
    </row>
    <row r="22" spans="1:6" x14ac:dyDescent="0.2">
      <c r="A22" s="3">
        <f t="shared" si="1"/>
        <v>3.3333333333333335</v>
      </c>
      <c r="B22" s="1" t="s">
        <v>26</v>
      </c>
      <c r="C22" s="2">
        <v>5</v>
      </c>
      <c r="D22" s="2">
        <v>0</v>
      </c>
      <c r="E22" s="2">
        <v>5</v>
      </c>
      <c r="F22" s="2" t="s">
        <v>27</v>
      </c>
    </row>
    <row r="23" spans="1:6" x14ac:dyDescent="0.2">
      <c r="A23" s="3">
        <f>SUM(A15:A22)/8</f>
        <v>49.791666666666664</v>
      </c>
      <c r="C23">
        <f>SUM(C15:C22)/8</f>
        <v>50.625</v>
      </c>
      <c r="D23">
        <f>SUM(D15:D22)/8</f>
        <v>41.875</v>
      </c>
      <c r="E23">
        <f>SUM(E15:E22)/8</f>
        <v>56.875</v>
      </c>
    </row>
    <row r="24" spans="1:6" x14ac:dyDescent="0.2">
      <c r="A24" s="3">
        <f>STDEV(A15:A22)</f>
        <v>27.752270034422267</v>
      </c>
    </row>
    <row r="28" spans="1:6" x14ac:dyDescent="0.2">
      <c r="A28">
        <f>_xlfn.T.TEST(A2:A9,A15:A22,1,2)</f>
        <v>5.8241046033742347E-2</v>
      </c>
      <c r="C28">
        <f>_xlfn.T.TEST(C2:C9,C15:C22,1,2)</f>
        <v>9.8754237726985272E-2</v>
      </c>
      <c r="D28">
        <f>_xlfn.T.TEST(D2:D9,D15:D22,1,2)</f>
        <v>0.11595561640112403</v>
      </c>
      <c r="E28">
        <f>_xlfn.T.TEST(E2:E9,E15:E22,1,2)</f>
        <v>7.558971490087682E-2</v>
      </c>
    </row>
    <row r="38" spans="1:4" x14ac:dyDescent="0.2">
      <c r="A38" s="1"/>
      <c r="B38" s="1"/>
      <c r="C38" s="1"/>
      <c r="D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Schmaelzle, Ralf</dc:creator>
  <cp:lastModifiedBy>Schmaelzle, Ralf</cp:lastModifiedBy>
  <dcterms:created xsi:type="dcterms:W3CDTF">2026-01-21T23:33:39Z</dcterms:created>
  <dcterms:modified xsi:type="dcterms:W3CDTF">2026-01-22T00:05:22Z</dcterms:modified>
</cp:coreProperties>
</file>